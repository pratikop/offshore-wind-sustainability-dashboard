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53e51e4e2842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_Data" sheetId="1" r:id="R25c1f1a161af40b2"/>
    <x:sheet xmlns:r="http://schemas.openxmlformats.org/officeDocument/2006/relationships" name="KPI_Summary" sheetId="2" r:id="R5bf86c001fa947da"/>
    <x:sheet xmlns:r="http://schemas.openxmlformats.org/officeDocument/2006/relationships" name="Dashboard" sheetId="3" r:id="R1b313e85907e4da1"/>
    <x:sheet xmlns:r="http://schemas.openxmlformats.org/officeDocument/2006/relationships" name="Sources" sheetId="4" r:id="R36c5345d5a1345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"/>
    <x:numFmt numFmtId="201" formatCode="0.00%"/>
    <x:numFmt numFmtId="202" formatCode="#,##0"/>
    <x:numFmt numFmtId="203" formatCode="0.00"/>
    <x:numFmt numFmtId="204" formatCode="#,##0.0"/>
  </x:numFmts>
  <x:fonts count="9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8"/>
      <x:color rgb="FFFFFF"/>
      <x:name val="Carlito"/>
    </x:font>
    <x:font>
      <x:i/>
      <x:sz val="11"/>
      <x:color rgb="003366"/>
      <x:name val="Carlito"/>
    </x:font>
    <x:font>
      <x:sz val="11"/>
      <x:color rgb="003366"/>
      <x:name val="Carlito"/>
    </x:font>
    <x:font>
      <x:b/>
      <x:sz val="11"/>
      <x:color rgb="003366"/>
      <x:name val="Carlito"/>
    </x:font>
    <x:font>
      <x:b/>
      <x:sz val="16"/>
      <x:color rgb="000000"/>
      <x:name val="Carlito"/>
    </x:font>
    <x:font>
      <x:i/>
      <x:sz val="11"/>
      <x:color rgb="4A3B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03366"/>
      </x:patternFill>
    </x:fill>
    <x:fill>
      <x:patternFill patternType="solid">
        <x:fgColor rgb="D9EAF7"/>
      </x:patternFill>
    </x:fill>
    <x:fill>
      <x:patternFill patternType="solid">
        <x:fgColor rgb="F3F6FA"/>
      </x:patternFill>
    </x:fill>
    <x:fill>
      <x:patternFill patternType="solid">
        <x:fgColor rgb="FFF4CC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7" fillId="4" borderId="1" xfId="0" applyNumberFormat="1" applyFont="1" applyFill="1" applyBorder="1" applyAlignment="1">
      <x:alignment horizontal="center" vertical="center"/>
    </x:xf>
    <x:xf numFmtId="200" fontId="7" fillId="4" borderId="0" xfId="0" applyNumberFormat="1" applyFont="1" applyFill="1" applyBorder="1" applyAlignment="1">
      <x:alignment horizontal="center" vertical="center"/>
    </x:xf>
    <x:xf numFmtId="200" fontId="7" fillId="4" borderId="1" xfId="0" applyNumberFormat="1" applyFont="1" applyFill="1" applyBorder="1" applyAlignment="1">
      <x:alignment horizontal="center" vertical="center"/>
    </x:xf>
    <x:xf numFmtId="204" fontId="7" fillId="4" borderId="0" xfId="0" applyNumberFormat="1" applyFont="1" applyFill="1" applyBorder="1" applyAlignment="1">
      <x:alignment horizontal="center" vertical="center"/>
    </x:xf>
    <x:xf numFmtId="204" fontId="7" fillId="4" borderId="1" xfId="0" applyNumberFormat="1" applyFont="1" applyFill="1" applyBorder="1" applyAlignment="1">
      <x:alignment horizontal="center" vertical="center"/>
    </x:xf>
    <x:xf numFmtId="202" fontId="7" fillId="4" borderId="0" xfId="0" applyNumberFormat="1" applyFont="1" applyFill="1" applyBorder="1" applyAlignment="1">
      <x:alignment horizontal="center" vertical="center"/>
    </x:xf>
    <x:xf numFmtId="202" fontId="7" fillId="4" borderId="1" xfId="0" applyNumberFormat="1" applyFont="1" applyFill="1" applyBorder="1" applyAlignment="1">
      <x:alignment horizontal="center" vertical="center"/>
    </x:xf>
    <x:xf numFmtId="203" fontId="7" fillId="4" borderId="0" xfId="0" applyNumberFormat="1" applyFont="1" applyFill="1" applyBorder="1" applyAlignment="1">
      <x:alignment horizontal="center" vertical="center"/>
    </x:xf>
    <x:xf numFmtId="203" fontId="7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735838a3924ac4" /><Relationship Type="http://schemas.openxmlformats.org/officeDocument/2006/relationships/theme" Target="/xl/theme/theme1.xml" Id="R0810d590504e433f" /><Relationship Type="http://schemas.openxmlformats.org/officeDocument/2006/relationships/sharedStrings" Target="/xl/sharedStrings.xml" Id="R400f35005e5145fd" /><Relationship Type="http://schemas.openxmlformats.org/officeDocument/2006/relationships/worksheet" Target="/xl/worksheets/sheet1.xml" Id="R25c1f1a161af40b2" /><Relationship Type="http://schemas.openxmlformats.org/officeDocument/2006/relationships/worksheet" Target="/xl/worksheets/sheet2.xml" Id="R5bf86c001fa947da" /><Relationship Type="http://schemas.openxmlformats.org/officeDocument/2006/relationships/worksheet" Target="/xl/worksheets/sheet3.xml" Id="R1b313e85907e4da1" /><Relationship Type="http://schemas.openxmlformats.org/officeDocument/2006/relationships/worksheet" Target="/xl/worksheets/sheet4.xml" Id="R36c5345d5a13452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0a26c7d5764ef6" /><Relationship Type="http://schemas.openxmlformats.org/officeDocument/2006/relationships/chart" Target="/xl/drawings/charts/chart2.xml" Id="R6d1976e491be4c0d" /><Relationship Type="http://schemas.openxmlformats.org/officeDocument/2006/relationships/chart" Target="/xl/drawings/charts/chart3.xml" Id="R8abd5b6c10e0453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cat>
            <c:strRef>
              <c:f>'KPI_Summary'!$F$4:$F$6</c:f>
              <c:strCache>
                <c:ptCount val="0"/>
              </c:strCache>
            </c:strRef>
          </c:cat>
          <c:val>
            <c:numRef>
              <c:f>'KPI_Summary'!$G$4:$G$6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Value</c:v>
          </c:tx>
          <c:cat>
            <c:strRef>
              <c:f>'KPI_Summary'!$J$4:$J$8</c:f>
              <c:strCache>
                <c:ptCount val="0"/>
              </c:strCache>
            </c:strRef>
          </c:cat>
          <c:val>
            <c:numRef>
              <c:f>'KPI_Summary'!$K$4:$K$8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Value</c:v>
          </c:tx>
          <c:cat>
            <c:strRef>
              <c:f>'KPI_Summary'!$N$4:$N$9</c:f>
              <c:strCache>
                <c:ptCount val="0"/>
              </c:strCache>
            </c:strRef>
          </c:cat>
          <c:val>
            <c:numRef>
              <c:f>'KPI_Summary'!$O$4:$O$9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7</xdr:row>
      <xdr:rowOff>0</xdr:rowOff>
    </xdr:from>
    <xdr:to>
      <xdr:col>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0a26c7d5764ef6"/>
        </a:graphicData>
      </a:graphic>
    </xdr:graphicFrame>
    <xdr:clientData/>
  </xdr:twoCellAnchor>
  <xdr:twoCellAnchor>
    <xdr:from>
      <xdr:col>6</xdr:col>
      <xdr:colOff>0</xdr:colOff>
      <xdr:row>7</xdr:row>
      <xdr:rowOff>0</xdr:rowOff>
    </xdr:from>
    <xdr:to>
      <xdr:col>12</xdr:col>
      <xdr:colOff>0</xdr:colOff>
      <xdr:row>23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1976e491be4c0d"/>
        </a:graphicData>
      </a:graphic>
    </xdr:graphicFrame>
    <xdr:clientData/>
  </xdr:twoCellAnchor>
  <xdr:twoCellAnchor>
    <xdr:from>
      <xdr:col>0</xdr:col>
      <xdr:colOff>0</xdr:colOff>
      <xdr:row>29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abd5b6c10e0453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WE_KPI_Data" displayName="RWE_KPI_Data" ref="A1:G37" headerRowCount="1">
  <x:tableColumns count="7">
    <x:tableColumn id="1" name="company"/>
    <x:tableColumn id="2" name="year"/>
    <x:tableColumn id="3" name="kpi_category"/>
    <x:tableColumn id="4" name="kpi_name"/>
    <x:tableColumn id="5" name="value"/>
    <x:tableColumn id="6" name="unit"/>
    <x:tableColumn id="7" name="source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5a55be2b3142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4545a3d0cb3449d5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4" hidden="0" customWidth="1"/>
    <x:col min="4" max="4" width="42" hidden="0" customWidth="1"/>
    <x:col min="5" max="5" width="14" hidden="0" customWidth="1"/>
    <x:col min="6" max="6" width="24" hidden="0" customWidth="1"/>
    <x:col min="7" max="7" width="34" hidden="0" customWidth="1"/>
  </x:cols>
  <x:sheetData>
    <x:row r="1">
      <x:c r="A1" s="10" t="str">
        <x:v>company</x:v>
      </x:c>
      <x:c r="B1" s="10" t="str">
        <x:v>year</x:v>
      </x:c>
      <x:c r="C1" s="10" t="str">
        <x:v>kpi_category</x:v>
      </x:c>
      <x:c r="D1" s="10" t="str">
        <x:v>kpi_name</x:v>
      </x:c>
      <x:c r="E1" s="10" t="str">
        <x:v>value</x:v>
      </x:c>
      <x:c r="F1" s="10" t="str">
        <x:v>unit</x:v>
      </x:c>
      <x:c r="G1" s="10" t="str">
        <x:v>source_note</x:v>
      </x:c>
    </x:row>
    <x:row r="2">
      <x:c r="A2" s="11" t="str">
        <x:v>RWE Group</x:v>
      </x:c>
      <x:c r="B2" s="11" t="n">
        <x:v>2025</x:v>
      </x:c>
      <x:c r="C2" s="11" t="str">
        <x:v>Carbon</x:v>
      </x:c>
      <x:c r="D2" s="11" t="str">
        <x:v>Gross Scope 1 GHG emissions</x:v>
      </x:c>
      <x:c r="E2" s="14" t="n">
        <x:v>51.89</x:v>
      </x:c>
      <x:c r="F2" s="11" t="str">
        <x:v>million metric tons CO2e</x:v>
      </x:c>
      <x:c r="G2" s="11" t="str">
        <x:v>RWE Annual Report 2025</x:v>
      </x:c>
    </x:row>
    <x:row r="3">
      <x:c r="A3" s="11" t="str">
        <x:v>RWE Group</x:v>
      </x:c>
      <x:c r="B3" s="11" t="n">
        <x:v>2025</x:v>
      </x:c>
      <x:c r="C3" s="11" t="str">
        <x:v>Carbon</x:v>
      </x:c>
      <x:c r="D3" s="11" t="str">
        <x:v>Gross location-based Scope 2 GHG emissions</x:v>
      </x:c>
      <x:c r="E3" s="14" t="n">
        <x:v>0.22</x:v>
      </x:c>
      <x:c r="F3" s="11" t="str">
        <x:v>million metric tons CO2e</x:v>
      </x:c>
      <x:c r="G3" s="11" t="str">
        <x:v>RWE Annual Report 2025</x:v>
      </x:c>
    </x:row>
    <x:row r="4">
      <x:c r="A4" s="11" t="str">
        <x:v>RWE Group</x:v>
      </x:c>
      <x:c r="B4" s="11" t="n">
        <x:v>2025</x:v>
      </x:c>
      <x:c r="C4" s="11" t="str">
        <x:v>Carbon</x:v>
      </x:c>
      <x:c r="D4" s="11" t="str">
        <x:v>Gross market-based Scope 2 GHG emissions</x:v>
      </x:c>
      <x:c r="E4" s="14" t="n">
        <x:v>0.22</x:v>
      </x:c>
      <x:c r="F4" s="11" t="str">
        <x:v>million metric tons CO2e</x:v>
      </x:c>
      <x:c r="G4" s="11" t="str">
        <x:v>RWE Annual Report 2025</x:v>
      </x:c>
    </x:row>
    <x:row r="5">
      <x:c r="A5" s="11" t="str">
        <x:v>RWE Group</x:v>
      </x:c>
      <x:c r="B5" s="11" t="n">
        <x:v>2025</x:v>
      </x:c>
      <x:c r="C5" s="11" t="str">
        <x:v>Carbon</x:v>
      </x:c>
      <x:c r="D5" s="11" t="str">
        <x:v>Total gross indirect Scope 3 GHG emissions</x:v>
      </x:c>
      <x:c r="E5" s="14" t="n">
        <x:v>19.47</x:v>
      </x:c>
      <x:c r="F5" s="11" t="str">
        <x:v>million metric tons CO2e</x:v>
      </x:c>
      <x:c r="G5" s="11" t="str">
        <x:v>RWE Annual Report 2025</x:v>
      </x:c>
    </x:row>
    <x:row r="6">
      <x:c r="A6" s="11" t="str">
        <x:v>RWE Group</x:v>
      </x:c>
      <x:c r="B6" s="11" t="n">
        <x:v>2025</x:v>
      </x:c>
      <x:c r="C6" s="11" t="str">
        <x:v>Carbon</x:v>
      </x:c>
      <x:c r="D6" s="11" t="str">
        <x:v>Total GHG emissions location-based</x:v>
      </x:c>
      <x:c r="E6" s="14" t="n">
        <x:v>71.58</x:v>
      </x:c>
      <x:c r="F6" s="11" t="str">
        <x:v>million metric tons CO2e</x:v>
      </x:c>
      <x:c r="G6" s="11" t="str">
        <x:v>RWE Annual Report 2025</x:v>
      </x:c>
    </x:row>
    <x:row r="7">
      <x:c r="A7" s="11" t="str">
        <x:v>RWE Group</x:v>
      </x:c>
      <x:c r="B7" s="11" t="n">
        <x:v>2025</x:v>
      </x:c>
      <x:c r="C7" s="11" t="str">
        <x:v>Carbon</x:v>
      </x:c>
      <x:c r="D7" s="11" t="str">
        <x:v>Total GHG emissions market-based</x:v>
      </x:c>
      <x:c r="E7" s="14" t="n">
        <x:v>71.58</x:v>
      </x:c>
      <x:c r="F7" s="11" t="str">
        <x:v>million metric tons CO2e</x:v>
      </x:c>
      <x:c r="G7" s="11" t="str">
        <x:v>RWE Annual Report 2025</x:v>
      </x:c>
    </x:row>
    <x:row r="8">
      <x:c r="A8" s="11" t="str">
        <x:v>RWE Group</x:v>
      </x:c>
      <x:c r="B8" s="11" t="n">
        <x:v>2025</x:v>
      </x:c>
      <x:c r="C8" s="11" t="str">
        <x:v>Carbon</x:v>
      </x:c>
      <x:c r="D8" s="11" t="str">
        <x:v>Scope 3 Category 1 Purchased goods and services</x:v>
      </x:c>
      <x:c r="E8" s="14" t="n">
        <x:v>1.09</x:v>
      </x:c>
      <x:c r="F8" s="11" t="str">
        <x:v>million metric tons CO2e</x:v>
      </x:c>
      <x:c r="G8" s="11" t="str">
        <x:v>RWE Annual Report 2025</x:v>
      </x:c>
    </x:row>
    <x:row r="9">
      <x:c r="A9" s="11" t="str">
        <x:v>RWE Group</x:v>
      </x:c>
      <x:c r="B9" s="11" t="n">
        <x:v>2025</x:v>
      </x:c>
      <x:c r="C9" s="11" t="str">
        <x:v>Carbon</x:v>
      </x:c>
      <x:c r="D9" s="11" t="str">
        <x:v>Scope 3 Category 2 Capital goods</x:v>
      </x:c>
      <x:c r="E9" s="14" t="n">
        <x:v>2.8</x:v>
      </x:c>
      <x:c r="F9" s="11" t="str">
        <x:v>million metric tons CO2e</x:v>
      </x:c>
      <x:c r="G9" s="11" t="str">
        <x:v>RWE Annual Report 2025</x:v>
      </x:c>
    </x:row>
    <x:row r="10">
      <x:c r="A10" s="11" t="str">
        <x:v>RWE Group</x:v>
      </x:c>
      <x:c r="B10" s="11" t="n">
        <x:v>2025</x:v>
      </x:c>
      <x:c r="C10" s="11" t="str">
        <x:v>Carbon</x:v>
      </x:c>
      <x:c r="D10" s="11" t="str">
        <x:v>Scope 3 Category 3 Fuel and energy-related activities</x:v>
      </x:c>
      <x:c r="E10" s="14" t="n">
        <x:v>3.6</x:v>
      </x:c>
      <x:c r="F10" s="11" t="str">
        <x:v>million metric tons CO2e</x:v>
      </x:c>
      <x:c r="G10" s="11" t="str">
        <x:v>RWE Annual Report 2025</x:v>
      </x:c>
    </x:row>
    <x:row r="11">
      <x:c r="A11" s="11" t="str">
        <x:v>RWE Group</x:v>
      </x:c>
      <x:c r="B11" s="11" t="n">
        <x:v>2025</x:v>
      </x:c>
      <x:c r="C11" s="11" t="str">
        <x:v>Carbon</x:v>
      </x:c>
      <x:c r="D11" s="11" t="str">
        <x:v>Scope 3 Category 5 Waste generated in operations</x:v>
      </x:c>
      <x:c r="E11" s="14" t="n">
        <x:v>0.09</x:v>
      </x:c>
      <x:c r="F11" s="11" t="str">
        <x:v>million metric tons CO2e</x:v>
      </x:c>
      <x:c r="G11" s="11" t="str">
        <x:v>RWE Annual Report 2025</x:v>
      </x:c>
    </x:row>
    <x:row r="12">
      <x:c r="A12" s="11" t="str">
        <x:v>RWE Group</x:v>
      </x:c>
      <x:c r="B12" s="11" t="n">
        <x:v>2025</x:v>
      </x:c>
      <x:c r="C12" s="11" t="str">
        <x:v>Carbon</x:v>
      </x:c>
      <x:c r="D12" s="11" t="str">
        <x:v>Scope 3 Category 11 Use of sold products</x:v>
      </x:c>
      <x:c r="E12" s="14" t="n">
        <x:v>9.21</x:v>
      </x:c>
      <x:c r="F12" s="11" t="str">
        <x:v>million metric tons CO2e</x:v>
      </x:c>
      <x:c r="G12" s="11" t="str">
        <x:v>RWE Annual Report 2025</x:v>
      </x:c>
    </x:row>
    <x:row r="13">
      <x:c r="A13" s="11" t="str">
        <x:v>RWE Group</x:v>
      </x:c>
      <x:c r="B13" s="11" t="n">
        <x:v>2025</x:v>
      </x:c>
      <x:c r="C13" s="11" t="str">
        <x:v>Carbon</x:v>
      </x:c>
      <x:c r="D13" s="11" t="str">
        <x:v>Scope 3 Category 15 Investments</x:v>
      </x:c>
      <x:c r="E13" s="14" t="n">
        <x:v>2.47</x:v>
      </x:c>
      <x:c r="F13" s="11" t="str">
        <x:v>million metric tons CO2e</x:v>
      </x:c>
      <x:c r="G13" s="11" t="str">
        <x:v>RWE Annual Report 2025</x:v>
      </x:c>
    </x:row>
    <x:row r="14">
      <x:c r="A14" s="11" t="str">
        <x:v>RWE Group</x:v>
      </x:c>
      <x:c r="B14" s="11" t="n">
        <x:v>2025</x:v>
      </x:c>
      <x:c r="C14" s="11" t="str">
        <x:v>Waste</x:v>
      </x:c>
      <x:c r="D14" s="11" t="str">
        <x:v>Total waste generated</x:v>
      </x:c>
      <x:c r="E14" s="14" t="n">
        <x:v>3283.1</x:v>
      </x:c>
      <x:c r="F14" s="11" t="str">
        <x:v>thousand metric tons</x:v>
      </x:c>
      <x:c r="G14" s="11" t="str">
        <x:v>RWE Annual Report 2025</x:v>
      </x:c>
    </x:row>
    <x:row r="15">
      <x:c r="A15" s="11" t="str">
        <x:v>RWE Group</x:v>
      </x:c>
      <x:c r="B15" s="11" t="n">
        <x:v>2025</x:v>
      </x:c>
      <x:c r="C15" s="11" t="str">
        <x:v>Waste</x:v>
      </x:c>
      <x:c r="D15" s="11" t="str">
        <x:v>Non-recycled waste total</x:v>
      </x:c>
      <x:c r="E15" s="14" t="n">
        <x:v>2969.1</x:v>
      </x:c>
      <x:c r="F15" s="11" t="str">
        <x:v>thousand metric tons</x:v>
      </x:c>
      <x:c r="G15" s="11" t="str">
        <x:v>RWE Annual Report 2025</x:v>
      </x:c>
    </x:row>
    <x:row r="16">
      <x:c r="A16" s="11" t="str">
        <x:v>RWE Group</x:v>
      </x:c>
      <x:c r="B16" s="11" t="n">
        <x:v>2025</x:v>
      </x:c>
      <x:c r="C16" s="11" t="str">
        <x:v>Waste</x:v>
      </x:c>
      <x:c r="D16" s="11" t="str">
        <x:v>Non-recycled waste non-hazardous</x:v>
      </x:c>
      <x:c r="E16" s="14" t="n">
        <x:v>2867</x:v>
      </x:c>
      <x:c r="F16" s="11" t="str">
        <x:v>thousand metric tons</x:v>
      </x:c>
      <x:c r="G16" s="11" t="str">
        <x:v>RWE Annual Report 2025</x:v>
      </x:c>
    </x:row>
    <x:row r="17">
      <x:c r="A17" s="11" t="str">
        <x:v>RWE Group</x:v>
      </x:c>
      <x:c r="B17" s="11" t="n">
        <x:v>2025</x:v>
      </x:c>
      <x:c r="C17" s="11" t="str">
        <x:v>Waste</x:v>
      </x:c>
      <x:c r="D17" s="11" t="str">
        <x:v>Non-recycled waste hazardous</x:v>
      </x:c>
      <x:c r="E17" s="14" t="n">
        <x:v>102.1</x:v>
      </x:c>
      <x:c r="F17" s="11" t="str">
        <x:v>thousand metric tons</x:v>
      </x:c>
      <x:c r="G17" s="11" t="str">
        <x:v>RWE Annual Report 2025</x:v>
      </x:c>
    </x:row>
    <x:row r="18">
      <x:c r="A18" s="11" t="str">
        <x:v>RWE Group</x:v>
      </x:c>
      <x:c r="B18" s="11" t="n">
        <x:v>2025</x:v>
      </x:c>
      <x:c r="C18" s="11" t="str">
        <x:v>Waste</x:v>
      </x:c>
      <x:c r="D18" s="11" t="str">
        <x:v>Hazardous waste total</x:v>
      </x:c>
      <x:c r="E18" s="14" t="n">
        <x:v>129.3</x:v>
      </x:c>
      <x:c r="F18" s="11" t="str">
        <x:v>thousand metric tons</x:v>
      </x:c>
      <x:c r="G18" s="11" t="str">
        <x:v>RWE Annual Report 2025</x:v>
      </x:c>
    </x:row>
    <x:row r="19">
      <x:c r="A19" s="11" t="str">
        <x:v>RWE Group</x:v>
      </x:c>
      <x:c r="B19" s="11" t="n">
        <x:v>2025</x:v>
      </x:c>
      <x:c r="C19" s="11" t="str">
        <x:v>Waste</x:v>
      </x:c>
      <x:c r="D19" s="11" t="str">
        <x:v>Waste directed to disposal non-hazardous</x:v>
      </x:c>
      <x:c r="E19" s="14" t="n">
        <x:v>472.9</x:v>
      </x:c>
      <x:c r="F19" s="11" t="str">
        <x:v>thousand metric tons</x:v>
      </x:c>
      <x:c r="G19" s="11" t="str">
        <x:v>RWE Annual Report 2025</x:v>
      </x:c>
    </x:row>
    <x:row r="20">
      <x:c r="A20" s="11" t="str">
        <x:v>RWE Group</x:v>
      </x:c>
      <x:c r="B20" s="11" t="n">
        <x:v>2025</x:v>
      </x:c>
      <x:c r="C20" s="11" t="str">
        <x:v>Waste</x:v>
      </x:c>
      <x:c r="D20" s="11" t="str">
        <x:v>Waste directed to disposal hazardous</x:v>
      </x:c>
      <x:c r="E20" s="14" t="n">
        <x:v>35.9</x:v>
      </x:c>
      <x:c r="F20" s="11" t="str">
        <x:v>thousand metric tons</x:v>
      </x:c>
      <x:c r="G20" s="11" t="str">
        <x:v>RWE Annual Report 2025</x:v>
      </x:c>
    </x:row>
    <x:row r="21">
      <x:c r="A21" s="11" t="str">
        <x:v>RWE Group</x:v>
      </x:c>
      <x:c r="B21" s="11" t="n">
        <x:v>2025</x:v>
      </x:c>
      <x:c r="C21" s="11" t="str">
        <x:v>Waste</x:v>
      </x:c>
      <x:c r="D21" s="11" t="str">
        <x:v>External incineration non-hazardous</x:v>
      </x:c>
      <x:c r="E21" s="14" t="n">
        <x:v>2.6</x:v>
      </x:c>
      <x:c r="F21" s="11" t="str">
        <x:v>thousand metric tons</x:v>
      </x:c>
      <x:c r="G21" s="11" t="str">
        <x:v>RWE Annual Report 2025</x:v>
      </x:c>
    </x:row>
    <x:row r="22">
      <x:c r="A22" s="11" t="str">
        <x:v>RWE Group</x:v>
      </x:c>
      <x:c r="B22" s="11" t="n">
        <x:v>2025</x:v>
      </x:c>
      <x:c r="C22" s="11" t="str">
        <x:v>Waste</x:v>
      </x:c>
      <x:c r="D22" s="11" t="str">
        <x:v>External landfill non-hazardous</x:v>
      </x:c>
      <x:c r="E22" s="14" t="n">
        <x:v>41.1</x:v>
      </x:c>
      <x:c r="F22" s="11" t="str">
        <x:v>thousand metric tons</x:v>
      </x:c>
      <x:c r="G22" s="11" t="str">
        <x:v>RWE Annual Report 2025</x:v>
      </x:c>
    </x:row>
    <x:row r="23">
      <x:c r="A23" s="11" t="str">
        <x:v>RWE Group</x:v>
      </x:c>
      <x:c r="B23" s="11" t="n">
        <x:v>2025</x:v>
      </x:c>
      <x:c r="C23" s="11" t="str">
        <x:v>Waste</x:v>
      </x:c>
      <x:c r="D23" s="11" t="str">
        <x:v>Other disposal operations non-hazardous</x:v>
      </x:c>
      <x:c r="E23" s="14" t="n">
        <x:v>429.2</x:v>
      </x:c>
      <x:c r="F23" s="11" t="str">
        <x:v>thousand metric tons</x:v>
      </x:c>
      <x:c r="G23" s="11" t="str">
        <x:v>RWE Annual Report 2025</x:v>
      </x:c>
    </x:row>
    <x:row r="24">
      <x:c r="A24" s="11" t="str">
        <x:v>RWE Group</x:v>
      </x:c>
      <x:c r="B24" s="11" t="n">
        <x:v>2025</x:v>
      </x:c>
      <x:c r="C24" s="11" t="str">
        <x:v>Materials</x:v>
      </x:c>
      <x:c r="D24" s="11" t="str">
        <x:v>Total weight of products</x:v>
      </x:c>
      <x:c r="E24" s="14" t="n">
        <x:v>1032679</x:v>
      </x:c>
      <x:c r="F24" s="11" t="str">
        <x:v>metric tons</x:v>
      </x:c>
      <x:c r="G24" s="11" t="str">
        <x:v>RWE Annual Report 2025</x:v>
      </x:c>
    </x:row>
    <x:row r="25">
      <x:c r="A25" s="11" t="str">
        <x:v>RWE Group</x:v>
      </x:c>
      <x:c r="B25" s="11" t="n">
        <x:v>2025</x:v>
      </x:c>
      <x:c r="C25" s="11" t="str">
        <x:v>Materials</x:v>
      </x:c>
      <x:c r="D25" s="11" t="str">
        <x:v>Ferrous metal mainly steel</x:v>
      </x:c>
      <x:c r="E25" s="14" t="n">
        <x:v>498503</x:v>
      </x:c>
      <x:c r="F25" s="11" t="str">
        <x:v>metric tons</x:v>
      </x:c>
      <x:c r="G25" s="11" t="str">
        <x:v>RWE Annual Report 2025</x:v>
      </x:c>
    </x:row>
    <x:row r="26">
      <x:c r="A26" s="11" t="str">
        <x:v>RWE Group</x:v>
      </x:c>
      <x:c r="B26" s="11" t="n">
        <x:v>2025</x:v>
      </x:c>
      <x:c r="C26" s="11" t="str">
        <x:v>Materials</x:v>
      </x:c>
      <x:c r="D26" s="11" t="str">
        <x:v>Concrete</x:v>
      </x:c>
      <x:c r="E26" s="14" t="n">
        <x:v>127587</x:v>
      </x:c>
      <x:c r="F26" s="11" t="str">
        <x:v>metric tons</x:v>
      </x:c>
      <x:c r="G26" s="11" t="str">
        <x:v>RWE Annual Report 2025</x:v>
      </x:c>
    </x:row>
    <x:row r="27">
      <x:c r="A27" s="11" t="str">
        <x:v>RWE Group</x:v>
      </x:c>
      <x:c r="B27" s="11" t="n">
        <x:v>2025</x:v>
      </x:c>
      <x:c r="C27" s="11" t="str">
        <x:v>Materials</x:v>
      </x:c>
      <x:c r="D27" s="11" t="str">
        <x:v>Non-ferrous metal mainly aluminium and copper</x:v>
      </x:c>
      <x:c r="E27" s="14" t="n">
        <x:v>80003</x:v>
      </x:c>
      <x:c r="F27" s="11" t="str">
        <x:v>metric tons</x:v>
      </x:c>
      <x:c r="G27" s="11" t="str">
        <x:v>RWE Annual Report 2025</x:v>
      </x:c>
    </x:row>
    <x:row r="28">
      <x:c r="A28" s="11" t="str">
        <x:v>RWE Group</x:v>
      </x:c>
      <x:c r="B28" s="11" t="n">
        <x:v>2025</x:v>
      </x:c>
      <x:c r="C28" s="11" t="str">
        <x:v>Materials</x:v>
      </x:c>
      <x:c r="D28" s="11" t="str">
        <x:v>Polymers</x:v>
      </x:c>
      <x:c r="E28" s="14" t="n">
        <x:v>66101</x:v>
      </x:c>
      <x:c r="F28" s="11" t="str">
        <x:v>metric tons</x:v>
      </x:c>
      <x:c r="G28" s="11" t="str">
        <x:v>RWE Annual Report 2025</x:v>
      </x:c>
    </x:row>
    <x:row r="29">
      <x:c r="A29" s="11" t="str">
        <x:v>RWE Group</x:v>
      </x:c>
      <x:c r="B29" s="11" t="n">
        <x:v>2025</x:v>
      </x:c>
      <x:c r="C29" s="11" t="str">
        <x:v>Materials</x:v>
      </x:c>
      <x:c r="D29" s="11" t="str">
        <x:v>Glass</x:v>
      </x:c>
      <x:c r="E29" s="14" t="n">
        <x:v>41395</x:v>
      </x:c>
      <x:c r="F29" s="11" t="str">
        <x:v>metric tons</x:v>
      </x:c>
      <x:c r="G29" s="11" t="str">
        <x:v>RWE Annual Report 2025</x:v>
      </x:c>
    </x:row>
    <x:row r="30">
      <x:c r="A30" s="11" t="str">
        <x:v>RWE Group</x:v>
      </x:c>
      <x:c r="B30" s="11" t="n">
        <x:v>2025</x:v>
      </x:c>
      <x:c r="C30" s="11" t="str">
        <x:v>Materials</x:v>
      </x:c>
      <x:c r="D30" s="11" t="str">
        <x:v>Other materials</x:v>
      </x:c>
      <x:c r="E30" s="14" t="n">
        <x:v>219090</x:v>
      </x:c>
      <x:c r="F30" s="11" t="str">
        <x:v>metric tons</x:v>
      </x:c>
      <x:c r="G30" s="11" t="str">
        <x:v>RWE Annual Report 2025</x:v>
      </x:c>
    </x:row>
    <x:row r="31">
      <x:c r="A31" s="11" t="str">
        <x:v>RWE Group</x:v>
      </x:c>
      <x:c r="B31" s="11" t="n">
        <x:v>2025</x:v>
      </x:c>
      <x:c r="C31" s="11" t="str">
        <x:v>Circularity</x:v>
      </x:c>
      <x:c r="D31" s="11" t="str">
        <x:v>Absolute weight of secondary materials used</x:v>
      </x:c>
      <x:c r="E31" s="14" t="n">
        <x:v>168845</x:v>
      </x:c>
      <x:c r="F31" s="11" t="str">
        <x:v>metric tons</x:v>
      </x:c>
      <x:c r="G31" s="11" t="str">
        <x:v>RWE Annual Report 2025</x:v>
      </x:c>
    </x:row>
    <x:row r="32">
      <x:c r="A32" s="11" t="str">
        <x:v>RWE Group</x:v>
      </x:c>
      <x:c r="B32" s="11" t="n">
        <x:v>2025</x:v>
      </x:c>
      <x:c r="C32" s="11" t="str">
        <x:v>Circularity</x:v>
      </x:c>
      <x:c r="D32" s="11" t="str">
        <x:v>Percentage of secondary materials used</x:v>
      </x:c>
      <x:c r="E32" s="14" t="n">
        <x:v>16</x:v>
      </x:c>
      <x:c r="F32" s="11" t="str">
        <x:v>percent</x:v>
      </x:c>
      <x:c r="G32" s="11" t="str">
        <x:v>RWE Annual Report 2025</x:v>
      </x:c>
    </x:row>
    <x:row r="33">
      <x:c r="A33" s="11" t="str">
        <x:v>RWE Group</x:v>
      </x:c>
      <x:c r="B33" s="11" t="n">
        <x:v>2025</x:v>
      </x:c>
      <x:c r="C33" s="11" t="str">
        <x:v>Circularity</x:v>
      </x:c>
      <x:c r="D33" s="11" t="str">
        <x:v>Estimated recycled content in ferrous metals</x:v>
      </x:c>
      <x:c r="E33" s="14" t="n">
        <x:v>29</x:v>
      </x:c>
      <x:c r="F33" s="11" t="str">
        <x:v>percent</x:v>
      </x:c>
      <x:c r="G33" s="11" t="str">
        <x:v>RWE Annual Report 2025</x:v>
      </x:c>
    </x:row>
    <x:row r="34">
      <x:c r="A34" s="11" t="str">
        <x:v>RWE Group</x:v>
      </x:c>
      <x:c r="B34" s="11" t="n">
        <x:v>2025</x:v>
      </x:c>
      <x:c r="C34" s="11" t="str">
        <x:v>Circularity</x:v>
      </x:c>
      <x:c r="D34" s="11" t="str">
        <x:v>Estimated recycled content in non-ferrous metals</x:v>
      </x:c>
      <x:c r="E34" s="14" t="n">
        <x:v>20</x:v>
      </x:c>
      <x:c r="F34" s="11" t="str">
        <x:v>percent</x:v>
      </x:c>
      <x:c r="G34" s="11" t="str">
        <x:v>RWE Annual Report 2025</x:v>
      </x:c>
    </x:row>
    <x:row r="35">
      <x:c r="A35" s="11" t="str">
        <x:v>RWE Group</x:v>
      </x:c>
      <x:c r="B35" s="11" t="n">
        <x:v>2025</x:v>
      </x:c>
      <x:c r="C35" s="11" t="str">
        <x:v>Circularity</x:v>
      </x:c>
      <x:c r="D35" s="11" t="str">
        <x:v>Estimated recycled content in glass</x:v>
      </x:c>
      <x:c r="E35" s="14" t="n">
        <x:v>20</x:v>
      </x:c>
      <x:c r="F35" s="11" t="str">
        <x:v>percent</x:v>
      </x:c>
      <x:c r="G35" s="11" t="str">
        <x:v>RWE Annual Report 2025</x:v>
      </x:c>
    </x:row>
    <x:row r="36">
      <x:c r="A36" s="11" t="str">
        <x:v>RWE Group</x:v>
      </x:c>
      <x:c r="B36" s="11" t="n">
        <x:v>2028</x:v>
      </x:c>
      <x:c r="C36" s="11" t="str">
        <x:v>Biodiversity</x:v>
      </x:c>
      <x:c r="D36" s="11" t="str">
        <x:v>Target to measure biodiversity impact for all facilities</x:v>
      </x:c>
      <x:c r="E36" s="14" t="n">
        <x:v>100</x:v>
      </x:c>
      <x:c r="F36" s="11" t="str">
        <x:v>percent of facilities</x:v>
      </x:c>
      <x:c r="G36" s="11" t="str">
        <x:v>RWE Annual Report 2025 / RWE biodiversity strategy</x:v>
      </x:c>
    </x:row>
    <x:row r="37">
      <x:c r="A37" s="11" t="str">
        <x:v>RWE Group</x:v>
      </x:c>
      <x:c r="B37" s="11" t="n">
        <x:v>2030</x:v>
      </x:c>
      <x:c r="C37" s="11" t="str">
        <x:v>Biodiversity</x:v>
      </x:c>
      <x:c r="D37" s="11" t="str">
        <x:v>Target for new facilities to have net-positive biodiversity impact</x:v>
      </x:c>
      <x:c r="E37" s="14" t="n">
        <x:v>1</x:v>
      </x:c>
      <x:c r="F37" s="11" t="str">
        <x:v>target</x:v>
      </x:c>
      <x:c r="G37" s="11" t="str">
        <x:v>RWE Annual Report 2025 / RWE biodiversity strategy</x:v>
      </x:c>
    </x:row>
    <x:row r="38">
      <x:c r="E38" s="15"/>
    </x:row>
    <x:row r="39">
      <x:c r="E39" s="15"/>
    </x:row>
    <x:row r="40">
      <x:c r="E40" s="15"/>
    </x:row>
    <x:row r="41">
      <x:c r="E41" s="15"/>
    </x:row>
    <x:row r="42">
      <x:c r="E42" s="15"/>
    </x:row>
    <x:row r="43">
      <x:c r="E43" s="15"/>
    </x:row>
    <x:row r="44">
      <x:c r="E44" s="15"/>
    </x:row>
    <x:row r="45">
      <x:c r="E45" s="15"/>
    </x:row>
    <x:row r="46">
      <x:c r="E46" s="15"/>
    </x:row>
    <x:row r="47">
      <x:c r="E47" s="15"/>
    </x:row>
    <x:row r="48">
      <x:c r="E48" s="15"/>
    </x:row>
    <x:row r="49">
      <x:c r="E49" s="15"/>
    </x:row>
    <x:row r="50">
      <x:c r="E50" s="15"/>
    </x:row>
    <x:row r="51">
      <x:c r="E51" s="15"/>
    </x:row>
    <x:row r="52">
      <x:c r="E52" s="15"/>
    </x:row>
    <x:row r="53">
      <x:c r="E53" s="15"/>
    </x:row>
    <x:row r="54">
      <x:c r="E54" s="15"/>
    </x:row>
    <x:row r="55">
      <x:c r="E55" s="15"/>
    </x:row>
    <x:row r="56">
      <x:c r="E56" s="15"/>
    </x:row>
    <x:row r="57">
      <x:c r="E57" s="15"/>
    </x:row>
    <x:row r="58">
      <x:c r="E58" s="15"/>
    </x:row>
    <x:row r="59">
      <x:c r="E59" s="15"/>
    </x:row>
    <x:row r="60">
      <x:c r="E60" s="15"/>
    </x:row>
    <x:row r="61">
      <x:c r="E61" s="15"/>
    </x:row>
    <x:row r="62">
      <x:c r="E62" s="15"/>
    </x:row>
    <x:row r="63">
      <x:c r="E63" s="15"/>
    </x:row>
    <x:row r="64">
      <x:c r="E64" s="15"/>
    </x:row>
    <x:row r="65">
      <x:c r="E65" s="15"/>
    </x:row>
    <x:row r="66">
      <x:c r="E66" s="15"/>
    </x:row>
    <x:row r="67">
      <x:c r="E67" s="15"/>
    </x:row>
    <x:row r="68">
      <x:c r="E68" s="15"/>
    </x:row>
    <x:row r="69">
      <x:c r="E69" s="15"/>
    </x:row>
    <x:row r="70">
      <x:c r="E70" s="15"/>
    </x:row>
    <x:row r="71">
      <x:c r="E71" s="15"/>
    </x:row>
    <x:row r="72">
      <x:c r="E72" s="15"/>
    </x:row>
    <x:row r="73">
      <x:c r="E73" s="15"/>
    </x:row>
    <x:row r="74">
      <x:c r="E74" s="15"/>
    </x:row>
    <x:row r="75">
      <x:c r="E75" s="15"/>
    </x:row>
    <x:row r="76">
      <x:c r="E76" s="15"/>
    </x:row>
    <x:row r="77">
      <x:c r="E77" s="15"/>
    </x:row>
    <x:row r="78">
      <x:c r="E78" s="15"/>
    </x:row>
    <x:row r="79">
      <x:c r="E79" s="15"/>
    </x:row>
    <x:row r="80">
      <x:c r="E80" s="15"/>
    </x:row>
    <x:row r="81">
      <x:c r="E81" s="15"/>
    </x:row>
    <x:row r="82">
      <x:c r="E82" s="15"/>
    </x:row>
    <x:row r="83">
      <x:c r="E83" s="15"/>
    </x:row>
    <x:row r="84">
      <x:c r="E84" s="15"/>
    </x:row>
    <x:row r="85">
      <x:c r="E85" s="15"/>
    </x:row>
    <x:row r="86">
      <x:c r="E86" s="15"/>
    </x:row>
    <x:row r="87">
      <x:c r="E87" s="15"/>
    </x:row>
    <x:row r="88">
      <x:c r="E88" s="15"/>
    </x:row>
    <x:row r="89">
      <x:c r="E89" s="15"/>
    </x:row>
    <x:row r="90">
      <x:c r="E90" s="15"/>
    </x:row>
    <x:row r="91">
      <x:c r="E91" s="15"/>
    </x:row>
    <x:row r="92">
      <x:c r="E92" s="15"/>
    </x:row>
    <x:row r="93">
      <x:c r="E93" s="15"/>
    </x:row>
    <x:row r="94">
      <x:c r="E94" s="15"/>
    </x:row>
    <x:row r="95">
      <x:c r="E95" s="15"/>
    </x:row>
    <x:row r="96">
      <x:c r="E96" s="15"/>
    </x:row>
    <x:row r="97">
      <x:c r="E97" s="15"/>
    </x:row>
    <x:row r="98">
      <x:c r="E98" s="15"/>
    </x:row>
    <x:row r="99">
      <x:c r="E99" s="15"/>
    </x:row>
    <x:row r="100">
      <x:c r="E100" s="15"/>
    </x:row>
  </x:sheetData>
  <x:pageMargins left="0.7" right="0.7" top="0.75" bottom="0.75" header="0.3" footer="0.3"/>
  <x:tableParts count="1">
    <x:tablePart xmlns:r="http://schemas.openxmlformats.org/officeDocument/2006/relationships" r:id="R075a55be2b3142f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8" hidden="0" customWidth="1"/>
    <x:col min="4" max="4" width="3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2" hidden="0" customWidth="1"/>
    <x:col min="11" max="11" width="18" hidden="0" customWidth="1"/>
    <x:col min="12" max="12" width="18" hidden="0" customWidth="1"/>
    <x:col min="13" max="13" width="18" hidden="0" customWidth="1"/>
    <x:col min="14" max="14" width="32" hidden="0" customWidth="1"/>
    <x:col min="15" max="15" width="18" hidden="0" customWidth="1"/>
    <x:col min="16" max="16" width="18" hidden="0" customWidth="1"/>
  </x:cols>
  <x:sheetData>
    <x:row r="1">
      <x:c r="A1" s="19" t="str">
        <x:v>RWE Sustainability KPI Summary – 2025</x:v>
      </x:c>
    </x:row>
    <x:row r="3">
      <x:c r="A3" s="5" t="str">
        <x:v>Metric</x:v>
      </x:c>
      <x:c r="B3" s="5" t="str">
        <x:v>Value</x:v>
      </x:c>
      <x:c r="C3" s="5" t="str">
        <x:v>Unit</x:v>
      </x:c>
      <x:c r="D3" s="5" t="str">
        <x:v>Formula / Source</x:v>
      </x:c>
      <x:c r="F3" s="5" t="str">
        <x:v>Carbon scope</x:v>
      </x:c>
      <x:c r="G3" s="5" t="str">
        <x:v>Value</x:v>
      </x:c>
      <x:c r="H3" s="5" t="str">
        <x:v>Unit</x:v>
      </x:c>
      <x:c r="J3" s="5" t="str">
        <x:v>Waste indicator</x:v>
      </x:c>
      <x:c r="K3" s="5" t="str">
        <x:v>Value</x:v>
      </x:c>
      <x:c r="L3" s="5" t="str">
        <x:v>Unit</x:v>
      </x:c>
      <x:c r="N3" s="5" t="str">
        <x:v>Material</x:v>
      </x:c>
      <x:c r="O3" s="5" t="str">
        <x:v>Value</x:v>
      </x:c>
      <x:c r="P3" s="5" t="str">
        <x:v>Unit</x:v>
      </x:c>
    </x:row>
    <x:row r="4">
      <x:c r="A4" s="11" t="str">
        <x:v>Total GHG emissions (location-based)</x:v>
      </x:c>
      <x:c r="B4" s="14" t="n">
        <x:f>XLOOKUP("Total GHG emissions location-based",Raw_Data!$D:$D,Raw_Data!$E:$E)</x:f>
        <x:v>71.58</x:v>
      </x:c>
      <x:c r="C4" s="11" t="str">
        <x:v>million metric tons CO2e</x:v>
      </x:c>
      <x:c r="D4" s="11" t="str">
        <x:v>XLOOKUP from Raw_Data</x:v>
      </x:c>
      <x:c r="F4" t="str">
        <x:v>Scope 1</x:v>
      </x:c>
      <x:c r="G4" t="n">
        <x:f>XLOOKUP("Gross Scope 1 GHG emissions",Raw_Data!$D:$D,Raw_Data!$E:$E)</x:f>
        <x:v>51.89</x:v>
      </x:c>
      <x:c r="H4" t="str">
        <x:v>million metric tons CO2e</x:v>
      </x:c>
      <x:c r="J4" t="str">
        <x:v>Total waste generated</x:v>
      </x:c>
      <x:c r="K4" t="n">
        <x:f>XLOOKUP("Total waste generated",Raw_Data!$D:$D,Raw_Data!$E:$E)</x:f>
        <x:v>3283.1</x:v>
      </x:c>
      <x:c r="L4" t="str">
        <x:v>thousand metric tons</x:v>
      </x:c>
      <x:c r="N4" t="str">
        <x:v>Ferrous metal mainly steel</x:v>
      </x:c>
      <x:c r="O4" t="n">
        <x:f>XLOOKUP("Ferrous metal mainly steel",Raw_Data!$D:$D,Raw_Data!$E:$E)</x:f>
        <x:v>498503</x:v>
      </x:c>
      <x:c r="P4" t="str">
        <x:v>metric tons</x:v>
      </x:c>
    </x:row>
    <x:row r="5">
      <x:c r="A5" s="11" t="str">
        <x:v>Scope 1 GHG emissions</x:v>
      </x:c>
      <x:c r="B5" s="14" t="n">
        <x:f>XLOOKUP("Gross Scope 1 GHG emissions",Raw_Data!$D:$D,Raw_Data!$E:$E)</x:f>
        <x:v>51.89</x:v>
      </x:c>
      <x:c r="C5" s="11" t="str">
        <x:v>million metric tons CO2e</x:v>
      </x:c>
      <x:c r="D5" s="11" t="str">
        <x:v>XLOOKUP from Raw_Data</x:v>
      </x:c>
      <x:c r="F5" t="str">
        <x:v>Scope 2</x:v>
      </x:c>
      <x:c r="G5" t="n">
        <x:f>XLOOKUP("Gross location-based Scope 2 GHG emissions",Raw_Data!$D:$D,Raw_Data!$E:$E)</x:f>
        <x:v>0.22</x:v>
      </x:c>
      <x:c r="H5" t="str">
        <x:v>million metric tons CO2e</x:v>
      </x:c>
      <x:c r="J5" t="str">
        <x:v>Non-recycled waste total</x:v>
      </x:c>
      <x:c r="K5" t="n">
        <x:f>XLOOKUP("Non-recycled waste total",Raw_Data!$D:$D,Raw_Data!$E:$E)</x:f>
        <x:v>2969.1</x:v>
      </x:c>
      <x:c r="L5" t="str">
        <x:v>thousand metric tons</x:v>
      </x:c>
      <x:c r="N5" t="str">
        <x:v>Concrete</x:v>
      </x:c>
      <x:c r="O5" t="n">
        <x:f>XLOOKUP("Concrete",Raw_Data!$D:$D,Raw_Data!$E:$E)</x:f>
        <x:v>127587</x:v>
      </x:c>
      <x:c r="P5" t="str">
        <x:v>metric tons</x:v>
      </x:c>
    </x:row>
    <x:row r="6">
      <x:c r="A6" s="11" t="str">
        <x:v>Scope 2 GHG emissions (location-based)</x:v>
      </x:c>
      <x:c r="B6" s="14" t="n">
        <x:f>XLOOKUP("Gross location-based Scope 2 GHG emissions",Raw_Data!$D:$D,Raw_Data!$E:$E)</x:f>
        <x:v>0.22</x:v>
      </x:c>
      <x:c r="C6" s="11" t="str">
        <x:v>million metric tons CO2e</x:v>
      </x:c>
      <x:c r="D6" s="11" t="str">
        <x:v>XLOOKUP from Raw_Data</x:v>
      </x:c>
      <x:c r="F6" t="str">
        <x:v>Scope 3</x:v>
      </x:c>
      <x:c r="G6" t="n">
        <x:f>XLOOKUP("Total gross indirect Scope 3 GHG emissions",Raw_Data!$D:$D,Raw_Data!$E:$E)</x:f>
        <x:v>19.47</x:v>
      </x:c>
      <x:c r="H6" t="str">
        <x:v>million metric tons CO2e</x:v>
      </x:c>
      <x:c r="J6" t="str">
        <x:v>Hazardous waste total</x:v>
      </x:c>
      <x:c r="K6" t="n">
        <x:f>XLOOKUP("Hazardous waste total",Raw_Data!$D:$D,Raw_Data!$E:$E)</x:f>
        <x:v>129.3</x:v>
      </x:c>
      <x:c r="L6" t="str">
        <x:v>thousand metric tons</x:v>
      </x:c>
      <x:c r="N6" t="str">
        <x:v>Non-ferrous metal mainly aluminium and copper</x:v>
      </x:c>
      <x:c r="O6" t="n">
        <x:f>XLOOKUP("Non-ferrous metal mainly aluminium and copper",Raw_Data!$D:$D,Raw_Data!$E:$E)</x:f>
        <x:v>80003</x:v>
      </x:c>
      <x:c r="P6" t="str">
        <x:v>metric tons</x:v>
      </x:c>
    </x:row>
    <x:row r="7">
      <x:c r="A7" s="11" t="str">
        <x:v>Scope 3 GHG emissions</x:v>
      </x:c>
      <x:c r="B7" s="14" t="n">
        <x:f>XLOOKUP("Total gross indirect Scope 3 GHG emissions",Raw_Data!$D:$D,Raw_Data!$E:$E)</x:f>
        <x:v>19.47</x:v>
      </x:c>
      <x:c r="C7" s="11" t="str">
        <x:v>million metric tons CO2e</x:v>
      </x:c>
      <x:c r="D7" s="11" t="str">
        <x:v>XLOOKUP from Raw_Data</x:v>
      </x:c>
      <x:c r="J7" t="str">
        <x:v>Waste directed to disposal non-hazardous</x:v>
      </x:c>
      <x:c r="K7" t="n">
        <x:f>XLOOKUP("Waste directed to disposal non-hazardous",Raw_Data!$D:$D,Raw_Data!$E:$E)</x:f>
        <x:v>472.9</x:v>
      </x:c>
      <x:c r="L7" t="str">
        <x:v>thousand metric tons</x:v>
      </x:c>
      <x:c r="N7" t="str">
        <x:v>Polymers</x:v>
      </x:c>
      <x:c r="O7" t="n">
        <x:f>XLOOKUP("Polymers",Raw_Data!$D:$D,Raw_Data!$E:$E)</x:f>
        <x:v>66101</x:v>
      </x:c>
      <x:c r="P7" t="str">
        <x:v>metric tons</x:v>
      </x:c>
    </x:row>
    <x:row r="8">
      <x:c r="A8" s="11" t="str">
        <x:v>Total waste generated</x:v>
      </x:c>
      <x:c r="B8" s="14" t="n">
        <x:f>XLOOKUP("Total waste generated",Raw_Data!$D:$D,Raw_Data!$E:$E)</x:f>
        <x:v>3283.1</x:v>
      </x:c>
      <x:c r="C8" s="11" t="str">
        <x:v>thousand metric tons</x:v>
      </x:c>
      <x:c r="D8" s="11" t="str">
        <x:v>XLOOKUP from Raw_Data</x:v>
      </x:c>
      <x:c r="J8" t="str">
        <x:v>Waste directed to disposal hazardous</x:v>
      </x:c>
      <x:c r="K8" t="n">
        <x:f>XLOOKUP("Waste directed to disposal hazardous",Raw_Data!$D:$D,Raw_Data!$E:$E)</x:f>
        <x:v>35.9</x:v>
      </x:c>
      <x:c r="L8" t="str">
        <x:v>thousand metric tons</x:v>
      </x:c>
      <x:c r="N8" t="str">
        <x:v>Glass</x:v>
      </x:c>
      <x:c r="O8" t="n">
        <x:f>XLOOKUP("Glass",Raw_Data!$D:$D,Raw_Data!$E:$E)</x:f>
        <x:v>41395</x:v>
      </x:c>
      <x:c r="P8" t="str">
        <x:v>metric tons</x:v>
      </x:c>
    </x:row>
    <x:row r="9">
      <x:c r="A9" s="11" t="str">
        <x:v>Hazardous waste share</x:v>
      </x:c>
      <x:c r="B9" s="22" t="n">
        <x:f>XLOOKUP("Hazardous waste total",Raw_Data!$D:$D,Raw_Data!$E:$E)/XLOOKUP("Total waste generated",Raw_Data!$D:$D,Raw_Data!$E:$E)</x:f>
        <x:v>0.03938350948798392</x:v>
      </x:c>
      <x:c r="C9" s="11" t="str">
        <x:v>percent</x:v>
      </x:c>
      <x:c r="D9" s="11" t="str">
        <x:v>Hazardous waste total / Total waste generated</x:v>
      </x:c>
      <x:c r="N9" t="str">
        <x:v>Other materials</x:v>
      </x:c>
      <x:c r="O9" t="n">
        <x:f>XLOOKUP("Other materials",Raw_Data!$D:$D,Raw_Data!$E:$E)</x:f>
        <x:v>219090</x:v>
      </x:c>
      <x:c r="P9" t="str">
        <x:v>metric tons</x:v>
      </x:c>
    </x:row>
    <x:row r="10">
      <x:c r="A10" s="11" t="str">
        <x:v>Secondary materials used</x:v>
      </x:c>
      <x:c r="B10" s="24" t="n">
        <x:f>XLOOKUP("Absolute weight of secondary materials used",Raw_Data!$D:$D,Raw_Data!$E:$E)</x:f>
        <x:v>168845</x:v>
      </x:c>
      <x:c r="C10" s="11" t="str">
        <x:v>metric tons</x:v>
      </x:c>
      <x:c r="D10" s="11" t="str">
        <x:v>XLOOKUP from Raw_Data</x:v>
      </x:c>
    </x:row>
    <x:row r="11">
      <x:c r="A11" s="11" t="str">
        <x:v>Secondary material share</x:v>
      </x:c>
      <x:c r="B11" s="26" t="n">
        <x:f>XLOOKUP("Percentage of secondary materials used",Raw_Data!$D:$D,Raw_Data!$E:$E)</x:f>
        <x:v>16</x:v>
      </x:c>
      <x:c r="C11" s="11" t="str">
        <x:v>percent</x:v>
      </x:c>
      <x:c r="D11" s="11" t="str">
        <x:v>XLOOKUP from Raw_Data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</x:cols>
  <x:sheetData>
    <x:row r="1" ht="32" customHeight="1">
      <x:c r="A1" s="30" t="str">
        <x:v>RWE Sustainability KPI Dashboard – 2025</x:v>
      </x:c>
    </x:row>
    <x:row r="2">
      <x:c r="A2" s="36" t="str">
        <x:v>Public RWE Group-level sustainability data | Carbon • Waste • Materials • Circularity • Biodiversity targets</x:v>
      </x:c>
    </x:row>
    <x:row r="4">
      <x:c r="A4" s="48" t="str">
        <x:v>Total GHG Emissions</x:v>
      </x:c>
      <x:c r="B4" s="43"/>
      <x:c r="C4" s="43"/>
      <x:c r="D4" s="48" t="str">
        <x:v>Total Waste Generated</x:v>
      </x:c>
      <x:c r="E4" s="43"/>
      <x:c r="F4" s="43"/>
      <x:c r="G4" s="48" t="str">
        <x:v>Secondary Materials Used</x:v>
      </x:c>
      <x:c r="H4" s="43"/>
      <x:c r="I4" s="43"/>
      <x:c r="J4" s="48" t="str">
        <x:v>Secondary Material Share</x:v>
      </x:c>
      <x:c r="K4" s="43"/>
      <x:c r="L4" s="43"/>
    </x:row>
    <x:row r="5">
      <x:c r="A5" s="52" t="n">
        <x:f>KPI_Summary!B4</x:f>
        <x:v>71.58</x:v>
      </x:c>
      <x:c r="B5" s="43"/>
      <x:c r="C5" s="43"/>
      <x:c r="D5" s="54" t="n">
        <x:f>KPI_Summary!B8</x:f>
        <x:v>3283.1</x:v>
      </x:c>
      <x:c r="E5" s="43"/>
      <x:c r="F5" s="43"/>
      <x:c r="G5" s="56" t="n">
        <x:f>KPI_Summary!B10</x:f>
        <x:v>168845</x:v>
      </x:c>
      <x:c r="H5" s="43"/>
      <x:c r="I5" s="43"/>
      <x:c r="J5" s="58" t="n">
        <x:f>KPI_Summary!B11</x:f>
        <x:v>16</x:v>
      </x:c>
      <x:c r="K5" s="43"/>
      <x:c r="L5" s="43"/>
    </x:row>
    <x:row r="6">
      <x:c r="A6" s="43" t="str">
        <x:v>million metric tons CO2e</x:v>
      </x:c>
      <x:c r="B6" s="43"/>
      <x:c r="C6" s="43"/>
      <x:c r="D6" s="43" t="str">
        <x:v>thousand metric tons</x:v>
      </x:c>
      <x:c r="E6" s="43"/>
      <x:c r="F6" s="43"/>
      <x:c r="G6" s="43" t="str">
        <x:v>metric tons</x:v>
      </x:c>
      <x:c r="H6" s="43"/>
      <x:c r="I6" s="43"/>
      <x:c r="J6" s="43" t="str">
        <x:v>percent</x:v>
      </x:c>
      <x:c r="K6" s="43"/>
      <x:c r="L6" s="43"/>
    </x:row>
    <x:row r="25" ht="60" customHeight="1">
      <x:c r="A25" s="63" t="str">
        <x:v>Data scope note: This dashboard uses public RWE Group-level sustainability indicators from 2025 reporting. It is not confidential RWE data and not project-level offshore wind farm data. Biodiversity entries are target-based because annual biodiversity impact is reported mainly through strategic goals.</x:v>
      </x:c>
    </x:row>
  </x:sheetData>
  <x:mergeCells>
    <x:mergeCell ref="A1:N1"/>
    <x:mergeCell ref="A2:N2"/>
    <x:mergeCell ref="A4:C6"/>
    <x:mergeCell ref="D4:F6"/>
    <x:mergeCell ref="G4:I6"/>
    <x:mergeCell ref="J4:L6"/>
    <x:mergeCell ref="A25:L29"/>
  </x:mergeCells>
  <x:pageMargins left="0.7" right="0.7" top="0.75" bottom="0.75" header="0.3" footer="0.3"/>
  <x:drawing xmlns:r="http://schemas.openxmlformats.org/officeDocument/2006/relationships" r:id="R4545a3d0cb3449d5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</x:cols>
  <x:sheetData>
    <x:row r="1">
      <x:c r="A1" s="68" t="str">
        <x:v>Sources and Project Notes</x:v>
      </x:c>
      <x:c r="B1" s="11"/>
    </x:row>
    <x:row r="3">
      <x:c r="A3" s="5" t="str">
        <x:v>Item</x:v>
      </x:c>
      <x:c r="B3" s="5" t="str">
        <x:v>Details</x:v>
      </x:c>
    </x:row>
    <x:row r="4">
      <x:c r="A4" t="str">
        <x:v>Main source</x:v>
      </x:c>
      <x:c r="B4" t="str">
        <x:v>RWE Annual Report 2025, Group Sustainability Statement</x:v>
      </x:c>
    </x:row>
    <x:row r="5">
      <x:c r="A5" t="str">
        <x:v>Additional source</x:v>
      </x:c>
      <x:c r="B5" t="str">
        <x:v>RWE Sustainability Key Figures Report 2025 and RWE Group Sustainability Reporting – Data 2025</x:v>
      </x:c>
    </x:row>
    <x:row r="6">
      <x:c r="A6" t="str">
        <x:v>Source URL</x:v>
      </x:c>
      <x:c r="B6" t="str">
        <x:v>https://www.rwe.com/en/investor-relations/financial-calendar-and-publications/reporting/</x:v>
      </x:c>
    </x:row>
    <x:row r="7">
      <x:c r="A7" t="str">
        <x:v>Scope</x:v>
      </x:c>
      <x:c r="B7" t="str">
        <x:v>Public RWE Group-level sustainability data</x:v>
      </x:c>
    </x:row>
    <x:row r="8">
      <x:c r="A8" t="str">
        <x:v>Limitation</x:v>
      </x:c>
      <x:c r="B8" t="str">
        <x:v>Not confidential data and not project-level offshore wind data</x:v>
      </x:c>
    </x:row>
    <x:row r="9">
      <x:c r="A9" t="str">
        <x:v>Purpose</x:v>
      </x:c>
      <x:c r="B9" t="str">
        <x:v>Portfolio project for sustainability KPI tracking, ESG-style analysis, Excel dashboarding, and Power BI preparation</x:v>
      </x:c>
    </x:row>
  </x:sheetData>
  <x:mergeCells>
    <x:mergeCell ref="A1:D1"/>
  </x:mergeCells>
  <x:pageMargins left="0.7" right="0.7" top="0.75" bottom="0.75" header="0.3" footer="0.3"/>
</x:worksheet>
</file>